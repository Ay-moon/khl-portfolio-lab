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ATELIER_IT\PROJETS_PYTHON\khl-portfolio-lab\commando-quant\"/>
    </mc:Choice>
  </mc:AlternateContent>
  <xr:revisionPtr revIDLastSave="0" documentId="13_ncr:1_{A2A4CD50-0188-4958-BDBB-64BA4F6B8CF8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Blotter" sheetId="2" r:id="rId1"/>
    <sheet name="DealTicket" sheetId="1" r:id="rId2"/>
    <sheet name="VaR" sheetId="3" r:id="rId3"/>
    <sheet name="Greeks" sheetId="4" r:id="rId4"/>
    <sheet name="PnL Sim" sheetId="5" r:id="rId5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<sst xmlns="http://schemas.openxmlformats.org/spreadsheetml/2006/main" count="168" uniqueCount="113">
  <si>
    <t>Underlying</t>
  </si>
  <si>
    <t>Type</t>
  </si>
  <si>
    <t>Style</t>
  </si>
  <si>
    <t>Strike</t>
  </si>
  <si>
    <t>Maturity</t>
  </si>
  <si>
    <t>Notional</t>
  </si>
  <si>
    <t>Prix</t>
  </si>
  <si>
    <t>Delta</t>
  </si>
  <si>
    <t>Gamma</t>
  </si>
  <si>
    <t>Vega</t>
  </si>
  <si>
    <t>Theta</t>
  </si>
  <si>
    <t>Rho</t>
  </si>
  <si>
    <t>TTE.PA</t>
  </si>
  <si>
    <t>EU</t>
  </si>
  <si>
    <t>PUT</t>
  </si>
  <si>
    <t>ID</t>
  </si>
  <si>
    <t>Spot</t>
  </si>
  <si>
    <t>Vol</t>
  </si>
  <si>
    <t>CALL</t>
  </si>
  <si>
    <t>CommandoQuant</t>
  </si>
  <si>
    <t>Deal Ticket — Saisie d'option</t>
  </si>
  <si>
    <t>PARAMETRES DE L'OPTION</t>
  </si>
  <si>
    <t>:</t>
  </si>
  <si>
    <t>Code Reuters de l'action</t>
  </si>
  <si>
    <t>CALL = droit d'acheter / PUT = droit de vendre</t>
  </si>
  <si>
    <t>EU = Européenne / US = Américaine</t>
  </si>
  <si>
    <t>Prix d'exercice de l'option (en EUR)</t>
  </si>
  <si>
    <t>Date d'expiration de l'option</t>
  </si>
  <si>
    <t>Valeur nominale en EUR</t>
  </si>
  <si>
    <t>Buy / Sell</t>
  </si>
  <si>
    <t>BUY = achat / SELL = vente</t>
  </si>
  <si>
    <t>RESULTATS DU PRICING</t>
  </si>
  <si>
    <t>Prix theorique Black-Scholes (EUR/action)</t>
  </si>
  <si>
    <t>Sensibilite au spot : si S +1EUR alors Prix + Delta EUR</t>
  </si>
  <si>
    <t>Variation du Delta quand le spot bouge de 1EUR</t>
  </si>
  <si>
    <t>Sensibilite a la vol : si vol +1% alors Prix + Vega EUR</t>
  </si>
  <si>
    <t>Perte de valeur par jour qui passe (toujours negatif)</t>
  </si>
  <si>
    <t>Sensibilite aux taux : si taux +1% alors Prix + Rho EUR</t>
  </si>
  <si>
    <t>Statut</t>
  </si>
  <si>
    <t>Etat de l'option dans le workflow</t>
  </si>
  <si>
    <t>CommandoQuant — Blotter des positions</t>
  </si>
  <si>
    <t>Date Pricing</t>
  </si>
  <si>
    <t>PRICE</t>
  </si>
  <si>
    <t>BNP.PA</t>
  </si>
  <si>
    <t>AIR.PA</t>
  </si>
  <si>
    <t>SELL</t>
  </si>
  <si>
    <t>MC.PA</t>
  </si>
  <si>
    <t>SAN.PA</t>
  </si>
  <si>
    <t>OR.PA</t>
  </si>
  <si>
    <t>POSITIONS DU PORTEFEUILLE</t>
  </si>
  <si>
    <t>CommandoQuant — Value-at-Risk Report</t>
  </si>
  <si>
    <t>Portefeuille : 6 positions | Confiance : 95% | Horizon : 1 jour</t>
  </si>
  <si>
    <t>Méthode</t>
  </si>
  <si>
    <t>VaR 95%</t>
  </si>
  <si>
    <t>Interprétation</t>
  </si>
  <si>
    <t>Fiabilité</t>
  </si>
  <si>
    <t>Paramétrique (Delta)</t>
  </si>
  <si>
    <t>Formule analytique — Delta seul</t>
  </si>
  <si>
    <t>Rapide — ignore Gamma</t>
  </si>
  <si>
    <t>Monte Carlo (10 000 simul.)</t>
  </si>
  <si>
    <t>Simulation — Delta + Gamma inclus</t>
  </si>
  <si>
    <t>Standard industrie options</t>
  </si>
  <si>
    <t>Historique (crises réelles)</t>
  </si>
  <si>
    <t>COVID, Lehman, Flash Crash...</t>
  </si>
  <si>
    <t>Réglementaire (Bâle III)</t>
  </si>
  <si>
    <t>Contrib VaR</t>
  </si>
  <si>
    <t>CommandoQuant — Greeks Dashboard</t>
  </si>
  <si>
    <t>Delta ?</t>
  </si>
  <si>
    <t>Gamma G</t>
  </si>
  <si>
    <t>Vega ?</t>
  </si>
  <si>
    <t>Theta T</t>
  </si>
  <si>
    <t>Rho ?</t>
  </si>
  <si>
    <t>Alerte</t>
  </si>
  <si>
    <t>POSITIONS INDIVIDUELLES</t>
  </si>
  <si>
    <t>SYNTHÈSE RISQUE PORTEFEUILLE — ALERTES</t>
  </si>
  <si>
    <t>Delta net portefeuille</t>
  </si>
  <si>
    <t>? Delta-neutre — portefeuille bien équilibré</t>
  </si>
  <si>
    <t>Gamma total</t>
  </si>
  <si>
    <t>Vega total</t>
  </si>
  <si>
    <t>Theta total (decay/jour)</t>
  </si>
  <si>
    <t>VaR estimée (Paramétrique)</t>
  </si>
  <si>
    <t>voir feuille VaR</t>
  </si>
  <si>
    <t>? Cliquer BtnVaR pour recalculer</t>
  </si>
  <si>
    <t>?  COMMANDOQUANT — P&amp;L SIMULATOR  ?</t>
  </si>
  <si>
    <t>Taylor Ordre 2 : P&amp;L = (? × dS + ½ × G × dS²) × Qty</t>
  </si>
  <si>
    <t>CHOC SPOT (%) :</t>
  </si>
  <si>
    <t xml:space="preserve">  ? ex: -5  ou  +10</t>
  </si>
  <si>
    <t>UNDERLYING</t>
  </si>
  <si>
    <t>TYPE</t>
  </si>
  <si>
    <t>STRIKE</t>
  </si>
  <si>
    <t>SPOT</t>
  </si>
  <si>
    <t>dS (-5%)</t>
  </si>
  <si>
    <t>DELTA</t>
  </si>
  <si>
    <t>GAMMA</t>
  </si>
  <si>
    <t>QTY</t>
  </si>
  <si>
    <t>P&amp;L (€)</t>
  </si>
  <si>
    <t>TOTAL PORTEFEUILLE</t>
  </si>
  <si>
    <t>?  Portefeuille GAGNANT    |   Choc -5% ? gain de 2 774,95 €</t>
  </si>
  <si>
    <t>Formule : P&amp;L = ( ? × dS  +  ½ × G × dS² ) × Qty     |     dS = Spot × choc%</t>
  </si>
  <si>
    <t>Calculé le : 11/03/2026 12:25:12</t>
  </si>
  <si>
    <t>Mis à jour : 14/04/2026 15:48:32</t>
  </si>
  <si>
    <t>TOTAL PORTEFEUILLE (0 positions)</t>
  </si>
  <si>
    <t>0,0000</t>
  </si>
  <si>
    <t>? Short Gamma — attention aux gros chocs</t>
  </si>
  <si>
    <t>? Vega acceptable — exposition vol maîtrisée</t>
  </si>
  <si>
    <t>? Theta raisonnable — coût de portage maîtrisé</t>
  </si>
  <si>
    <t>CommandoQuant Greeks Dashboard · 14/04/2026 15:48 · Données : tbl_Greeks (Access)</t>
  </si>
  <si>
    <t>161,2422 EUR</t>
  </si>
  <si>
    <t>-0,9917</t>
  </si>
  <si>
    <t>0,0004</t>
  </si>
  <si>
    <t>0,0481</t>
  </si>
  <si>
    <t>0,0438</t>
  </si>
  <si>
    <t>2026-09-03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</si>
</sst>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/yy\ h:mm;@"/>
    <numFmt numFmtId="165" formatCode="0.0000"/>
    <numFmt numFmtId="166" formatCode="#,##0.00\ \€"/>
    <numFmt numFmtId="167" formatCode="\+#,##0.00;\-#,##0.00"/>
    <numFmt numFmtId="168" formatCode="\+#,##0.00\ \€;\-#,##0.00\ \€"/>
  </numFmts>
  <fonts count="4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F0642D"/>
      <name val="Calibri"/>
      <family val="2"/>
      <scheme val="minor"/>
    </font>
    <font>
      <i/>
      <sz val="11"/>
      <color rgb="FFB0BEC5"/>
      <name val="Calibri"/>
      <family val="2"/>
      <scheme val="minor"/>
    </font>
    <font>
      <b/>
      <sz val="9"/>
      <color rgb="FF0A0C23"/>
      <name val="Calibri"/>
      <family val="2"/>
      <scheme val="minor"/>
    </font>
    <font>
      <b/>
      <sz val="10"/>
      <color rgb="FFB0BEC5"/>
      <name val="Calibri"/>
      <family val="2"/>
      <scheme val="minor"/>
    </font>
    <font>
      <sz val="11"/>
      <color rgb="FF0A0C23"/>
      <name val="Calibri"/>
      <family val="2"/>
      <scheme val="minor"/>
    </font>
    <font>
      <b/>
      <sz val="11"/>
      <color rgb="FFF0642D"/>
      <name val="Calibri"/>
      <family val="2"/>
      <scheme val="minor"/>
    </font>
    <font>
      <i/>
      <sz val="8"/>
      <color rgb="FF718096"/>
      <name val="Calibri"/>
      <family val="2"/>
      <scheme val="minor"/>
    </font>
    <font>
      <b/>
      <sz val="9"/>
      <color rgb="FF800C00"/>
      <name val="Calibri"/>
      <family val="2"/>
      <scheme val="minor"/>
    </font>
    <font>
      <b/>
      <sz val="11"/>
      <color rgb="FFB0BEC5"/>
      <name val="Calibri"/>
      <family val="2"/>
      <scheme val="minor"/>
    </font>
    <font>
      <sz val="11"/>
      <color rgb="FF800C00"/>
      <name val="Calibri"/>
      <family val="2"/>
      <scheme val="minor"/>
    </font>
    <font>
      <b/>
      <sz val="11"/>
      <color rgb="FF800C00"/>
      <name val="Calibri"/>
      <family val="2"/>
      <scheme val="minor"/>
    </font>
    <font>
      <b/>
      <sz val="16"/>
      <color rgb="FFF0642D"/>
      <name val="Calibri"/>
      <family val="2"/>
      <scheme val="minor"/>
    </font>
    <font>
      <b/>
      <sz val="9"/>
      <color rgb="FFF0642D"/>
      <name val="Calibri"/>
      <family val="2"/>
      <scheme val="minor"/>
    </font>
    <font>
      <b/>
      <sz val="11"/>
      <color rgb="FFE53935"/>
      <name val="Calibri"/>
      <family val="2"/>
      <scheme val="minor"/>
    </font>
    <font>
      <sz val="11"/>
      <color rgb="FFFFFFFF"/>
      <name val="Consolas"/>
      <family val="3"/>
    </font>
    <font>
      <b/>
      <sz val="14"/>
      <color rgb="FFF0B429"/>
      <name val="Consolas"/>
      <family val="3"/>
    </font>
    <font>
      <sz val="9"/>
      <color rgb="FFFFFFFF"/>
      <name val="Consolas"/>
      <family val="3"/>
    </font>
    <font>
      <sz val="9"/>
      <color rgb="FFB0BEC5"/>
      <name val="Consolas"/>
      <family val="3"/>
    </font>
    <font>
      <i/>
      <sz val="9"/>
      <color rgb="FFB0BEC5"/>
      <name val="Consolas"/>
      <family val="3"/>
    </font>
    <font>
      <b/>
      <sz val="9"/>
      <color rgb="FFF0B429"/>
      <name val="Consolas"/>
      <family val="3"/>
    </font>
    <font>
      <b/>
      <sz val="11"/>
      <color rgb="FFE53935"/>
      <name val="Consolas"/>
      <family val="3"/>
    </font>
    <font>
      <b/>
      <sz val="9"/>
      <color rgb="FF46080B"/>
      <name val="Consolas"/>
      <family val="3"/>
    </font>
    <font>
      <i/>
      <sz val="11"/>
      <color rgb="FFB0BEC5"/>
      <name val="Consolas"/>
      <family val="3"/>
    </font>
    <font>
      <sz val="9"/>
      <color rgb="FFFFC107"/>
      <name val="Consolas"/>
      <family val="3"/>
    </font>
    <font>
      <b/>
      <sz val="10"/>
      <color rgb="FF00460A"/>
      <name val="Consolas"/>
      <family val="3"/>
    </font>
    <font>
      <b/>
      <sz val="9"/>
      <color rgb="FFC80000"/>
      <name val="Consolas"/>
      <family val="3"/>
    </font>
    <font>
      <b/>
      <sz val="10"/>
      <color rgb="FFF0B429"/>
      <name val="Consolas"/>
      <family val="3"/>
    </font>
    <font>
      <i/>
      <sz val="8"/>
      <color rgb="FF546E7A"/>
      <name val="Consolas"/>
      <family val="3"/>
    </font>
    <font>
      <sz val="11"/>
      <color rgb="FFFFFFFF"/>
      <name val="Courier New"/>
      <family val="3"/>
    </font>
    <font>
      <b/>
      <sz val="14"/>
      <color rgb="FF00CCFF"/>
      <name val="Courier New"/>
      <family val="3"/>
    </font>
    <font>
      <i/>
      <sz val="10"/>
      <color rgb="FFA0A0A0"/>
      <name val="Courier New"/>
      <family val="3"/>
    </font>
    <font>
      <b/>
      <sz val="12"/>
      <color rgb="FF009AFF"/>
      <name val="Courier New"/>
      <family val="3"/>
    </font>
    <font>
      <b/>
      <sz val="12"/>
      <color rgb="FF00CCFF"/>
      <name val="Courier New"/>
      <family val="3"/>
    </font>
    <font>
      <i/>
      <sz val="9"/>
      <color rgb="FFA0A0A0"/>
      <name val="Courier New"/>
      <family val="3"/>
    </font>
    <font>
      <b/>
      <sz val="11"/>
      <color rgb="FFFFFFFF"/>
      <name val="Courier New"/>
      <family val="3"/>
    </font>
    <font>
      <b/>
      <sz val="11"/>
      <color rgb="FF009AFF"/>
      <name val="Courier New"/>
      <family val="3"/>
    </font>
    <font>
      <b/>
      <sz val="11"/>
      <color rgb="FF00CCFF"/>
      <name val="Courier New"/>
      <family val="3"/>
    </font>
    <font>
      <sz val="11"/>
      <color rgb="FFA0A0A0"/>
      <name val="Courier New"/>
      <family val="3"/>
    </font>
    <font>
      <b/>
      <sz val="11"/>
      <color rgb="FF64DC64"/>
      <name val="Courier New"/>
      <family val="3"/>
    </font>
    <font>
      <b/>
      <sz val="11"/>
      <color rgb="FFFF6464"/>
      <name val="Courier New"/>
      <family val="3"/>
    </font>
    <font>
      <sz val="11"/>
      <color rgb="FF64C864"/>
      <name val="Courier New"/>
      <family val="3"/>
    </font>
    <font>
      <b/>
      <sz val="11"/>
      <color rgb="FFFF5050"/>
      <name val="Courier New"/>
      <family val="3"/>
    </font>
    <font>
      <b/>
      <sz val="11"/>
      <color rgb="FFFF8C00"/>
      <name val="Courier New"/>
      <family val="3"/>
    </font>
    <font>
      <sz val="11"/>
      <color rgb="FFFF7878"/>
      <name val="Courier New"/>
      <family val="3"/>
    </font>
    <font>
      <b/>
      <sz val="11"/>
      <color rgb="FF50FF50"/>
      <name val="Courier New"/>
      <family val="3"/>
    </font>
    <font>
      <b/>
      <sz val="13"/>
      <color rgb="FF50FF50"/>
      <name val="Courier New"/>
      <family val="3"/>
    </font>
  </fonts>
  <fills count="18">
    <fill>
      <patternFill patternType="none"/>
    </fill>
    <fill>
      <patternFill patternType="gray125"/>
    </fill>
    <fill>
      <patternFill patternType="solid">
        <fgColor rgb="FF04100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0D2040"/>
        <bgColor indexed="64"/>
      </patternFill>
    </fill>
    <fill>
      <patternFill patternType="solid">
        <fgColor rgb="FFF4F3F4"/>
        <bgColor indexed="64"/>
      </patternFill>
    </fill>
    <fill>
      <patternFill patternType="solid">
        <fgColor rgb="FF00140A"/>
        <bgColor indexed="64"/>
      </patternFill>
    </fill>
    <fill>
      <patternFill patternType="solid">
        <fgColor rgb="FF46080B"/>
        <bgColor indexed="64"/>
      </patternFill>
    </fill>
    <fill>
      <patternFill patternType="solid">
        <fgColor rgb="FF40100D"/>
        <bgColor indexed="64"/>
      </patternFill>
    </fill>
    <fill>
      <patternFill patternType="solid">
        <fgColor rgb="FF551911"/>
        <bgColor indexed="64"/>
      </patternFill>
    </fill>
    <fill>
      <patternFill patternType="solid">
        <fgColor rgb="FFD4880A"/>
        <bgColor indexed="64"/>
      </patternFill>
    </fill>
    <fill>
      <patternFill patternType="solid">
        <fgColor rgb="FF0A680D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28283C"/>
        <bgColor indexed="64"/>
      </patternFill>
    </fill>
    <fill>
      <patternFill patternType="solid">
        <fgColor rgb="FF321414"/>
        <bgColor indexed="64"/>
      </patternFill>
    </fill>
    <fill>
      <patternFill patternType="solid">
        <fgColor rgb="FF143214"/>
        <bgColor indexed="64"/>
      </patternFill>
    </fill>
    <fill>
      <patternFill patternType="solid">
        <fgColor rgb="FF321E0A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rgb="FF0A0C23"/>
      </top>
      <bottom/>
      <diagonal/>
    </border>
    <border>
      <left/>
      <right/>
      <top/>
      <bottom style="medium">
        <color rgb="FF0A0C23"/>
      </bottom>
      <diagonal/>
    </border>
    <border>
      <left/>
      <right/>
      <top style="thin">
        <color rgb="FF0A0C23"/>
      </top>
      <bottom style="medium">
        <color rgb="FF0A0C23"/>
      </bottom>
      <diagonal/>
    </border>
    <border>
      <left style="thin">
        <color rgb="FF009AFF"/>
      </left>
      <right style="thin">
        <color rgb="FF009AFF"/>
      </right>
      <top style="thin">
        <color rgb="FF009AFF"/>
      </top>
      <bottom style="thin">
        <color rgb="FF009AFF"/>
      </bottom>
      <diagonal/>
    </border>
    <border>
      <left/>
      <right/>
      <top/>
      <bottom style="medium">
        <color rgb="FF009AFF"/>
      </bottom>
      <diagonal/>
    </border>
    <border>
      <left/>
      <right/>
      <top style="medium">
        <color rgb="FF009AFF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5" fillId="3" borderId="0" xfId="0" applyFont="1" applyFill="1" applyAlignment="1">
      <alignment horizontal="right" indent="1"/>
    </xf>
    <xf numFmtId="0" fontId="6" fillId="3" borderId="0" xfId="0" applyFont="1" applyFill="1" applyAlignment="1">
      <alignment horizontal="center"/>
    </xf>
    <xf numFmtId="0" fontId="8" fillId="5" borderId="0" xfId="0" applyFont="1" applyFill="1"/>
    <xf numFmtId="0" fontId="7" fillId="4" borderId="0" xfId="0" applyFont="1" applyFill="1" applyAlignment="1">
      <alignment horizontal="left" indent="1"/>
    </xf>
    <xf numFmtId="0" fontId="7" fillId="4" borderId="1" xfId="0" applyFont="1" applyFill="1" applyBorder="1" applyAlignment="1">
      <alignment horizontal="left" indent="1"/>
    </xf>
    <xf numFmtId="14" fontId="7" fillId="4" borderId="1" xfId="0" applyNumberFormat="1" applyFont="1" applyFill="1" applyBorder="1" applyAlignment="1">
      <alignment horizontal="left" indent="1"/>
    </xf>
    <xf numFmtId="0" fontId="10" fillId="3" borderId="0" xfId="0" applyFont="1" applyFill="1" applyAlignment="1">
      <alignment horizontal="right" indent="1"/>
    </xf>
    <xf numFmtId="0" fontId="11" fillId="3" borderId="0" xfId="0" applyFont="1" applyFill="1" applyAlignment="1">
      <alignment horizontal="center"/>
    </xf>
    <xf numFmtId="0" fontId="12" fillId="6" borderId="0" xfId="0" applyFont="1" applyFill="1" applyAlignment="1">
      <alignment horizontal="left" indent="1"/>
    </xf>
    <xf numFmtId="0" fontId="5" fillId="3" borderId="2" xfId="0" applyFont="1" applyFill="1" applyBorder="1" applyAlignment="1">
      <alignment horizontal="right" indent="1"/>
    </xf>
    <xf numFmtId="0" fontId="6" fillId="3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left" indent="1"/>
    </xf>
    <xf numFmtId="0" fontId="14" fillId="3" borderId="2" xfId="0" applyFont="1" applyFill="1" applyBorder="1" applyAlignment="1">
      <alignment horizontal="center"/>
    </xf>
    <xf numFmtId="165" fontId="0" fillId="0" borderId="0" xfId="0" applyNumberFormat="1"/>
    <xf numFmtId="0" fontId="15" fillId="6" borderId="0" xfId="0" applyFont="1" applyFill="1" applyAlignment="1">
      <alignment horizontal="left" indent="1"/>
    </xf>
    <xf numFmtId="3" fontId="12" fillId="6" borderId="0" xfId="0" applyNumberFormat="1" applyFont="1" applyFill="1" applyAlignment="1">
      <alignment horizontal="left" indent="1"/>
    </xf>
    <xf numFmtId="0" fontId="16" fillId="7" borderId="0" xfId="0" applyFont="1" applyFill="1"/>
    <xf numFmtId="0" fontId="17" fillId="7" borderId="0" xfId="0" applyFont="1" applyFill="1"/>
    <xf numFmtId="0" fontId="18" fillId="7" borderId="0" xfId="0" applyFont="1" applyFill="1"/>
    <xf numFmtId="0" fontId="20" fillId="7" borderId="0" xfId="0" applyFont="1" applyFill="1"/>
    <xf numFmtId="0" fontId="16" fillId="8" borderId="0" xfId="0" applyFont="1" applyFill="1"/>
    <xf numFmtId="0" fontId="21" fillId="8" borderId="0" xfId="0" applyFont="1" applyFill="1"/>
    <xf numFmtId="0" fontId="16" fillId="9" borderId="0" xfId="0" applyFont="1" applyFill="1"/>
    <xf numFmtId="166" fontId="22" fillId="8" borderId="0" xfId="0" applyNumberFormat="1" applyFont="1" applyFill="1"/>
    <xf numFmtId="166" fontId="22" fillId="9" borderId="0" xfId="0" applyNumberFormat="1" applyFont="1" applyFill="1"/>
    <xf numFmtId="0" fontId="24" fillId="7" borderId="0" xfId="0" applyFont="1" applyFill="1"/>
    <xf numFmtId="0" fontId="18" fillId="8" borderId="0" xfId="0" applyFont="1" applyFill="1"/>
    <xf numFmtId="0" fontId="21" fillId="8" borderId="0" xfId="0" applyFont="1" applyFill="1" applyAlignment="1">
      <alignment horizontal="center"/>
    </xf>
    <xf numFmtId="0" fontId="18" fillId="9" borderId="0" xfId="0" applyFont="1" applyFill="1"/>
    <xf numFmtId="0" fontId="23" fillId="11" borderId="0" xfId="0" applyFont="1" applyFill="1"/>
    <xf numFmtId="165" fontId="23" fillId="11" borderId="0" xfId="0" applyNumberFormat="1" applyFont="1" applyFill="1"/>
    <xf numFmtId="165" fontId="26" fillId="11" borderId="0" xfId="0" applyNumberFormat="1" applyFont="1" applyFill="1"/>
    <xf numFmtId="165" fontId="27" fillId="11" borderId="0" xfId="0" applyNumberFormat="1" applyFont="1" applyFill="1"/>
    <xf numFmtId="0" fontId="19" fillId="8" borderId="0" xfId="0" applyFont="1" applyFill="1"/>
    <xf numFmtId="0" fontId="19" fillId="9" borderId="0" xfId="0" applyFont="1" applyFill="1"/>
    <xf numFmtId="0" fontId="21" fillId="9" borderId="0" xfId="0" applyFont="1" applyFill="1"/>
    <xf numFmtId="0" fontId="30" fillId="12" borderId="0" xfId="0" applyFont="1" applyFill="1"/>
    <xf numFmtId="0" fontId="33" fillId="12" borderId="0" xfId="0" applyFont="1" applyFill="1"/>
    <xf numFmtId="0" fontId="34" fillId="14" borderId="4" xfId="0" applyFont="1" applyFill="1" applyBorder="1" applyAlignment="1">
      <alignment horizontal="center"/>
    </xf>
    <xf numFmtId="0" fontId="35" fillId="12" borderId="0" xfId="0" applyFont="1" applyFill="1"/>
    <xf numFmtId="0" fontId="38" fillId="13" borderId="5" xfId="0" applyFont="1" applyFill="1" applyBorder="1" applyAlignment="1">
      <alignment horizontal="center"/>
    </xf>
    <xf numFmtId="0" fontId="36" fillId="15" borderId="0" xfId="0" applyFont="1" applyFill="1"/>
    <xf numFmtId="0" fontId="40" fillId="15" borderId="0" xfId="0" applyFont="1" applyFill="1" applyAlignment="1">
      <alignment horizontal="center"/>
    </xf>
    <xf numFmtId="4" fontId="39" fillId="15" borderId="0" xfId="0" applyNumberFormat="1" applyFont="1" applyFill="1" applyAlignment="1">
      <alignment horizontal="right"/>
    </xf>
    <xf numFmtId="4" fontId="30" fillId="15" borderId="0" xfId="0" applyNumberFormat="1" applyFont="1" applyFill="1" applyAlignment="1">
      <alignment horizontal="right"/>
    </xf>
    <xf numFmtId="167" fontId="41" fillId="15" borderId="0" xfId="0" applyNumberFormat="1" applyFont="1" applyFill="1" applyAlignment="1">
      <alignment horizontal="right"/>
    </xf>
    <xf numFmtId="165" fontId="42" fillId="15" borderId="0" xfId="0" applyNumberFormat="1" applyFont="1" applyFill="1" applyAlignment="1">
      <alignment horizontal="right"/>
    </xf>
    <xf numFmtId="165" fontId="39" fillId="15" borderId="0" xfId="0" applyNumberFormat="1" applyFont="1" applyFill="1" applyAlignment="1">
      <alignment horizontal="right"/>
    </xf>
    <xf numFmtId="3" fontId="30" fillId="15" borderId="0" xfId="0" applyNumberFormat="1" applyFont="1" applyFill="1" applyAlignment="1">
      <alignment horizontal="right"/>
    </xf>
    <xf numFmtId="168" fontId="43" fillId="15" borderId="0" xfId="0" applyNumberFormat="1" applyFont="1" applyFill="1" applyAlignment="1">
      <alignment horizontal="right"/>
    </xf>
    <xf numFmtId="0" fontId="36" fillId="16" borderId="0" xfId="0" applyFont="1" applyFill="1"/>
    <xf numFmtId="0" fontId="44" fillId="16" borderId="0" xfId="0" applyFont="1" applyFill="1" applyAlignment="1">
      <alignment horizontal="center"/>
    </xf>
    <xf numFmtId="4" fontId="39" fillId="16" borderId="0" xfId="0" applyNumberFormat="1" applyFont="1" applyFill="1" applyAlignment="1">
      <alignment horizontal="right"/>
    </xf>
    <xf numFmtId="4" fontId="30" fillId="16" borderId="0" xfId="0" applyNumberFormat="1" applyFont="1" applyFill="1" applyAlignment="1">
      <alignment horizontal="right"/>
    </xf>
    <xf numFmtId="167" fontId="41" fillId="16" borderId="0" xfId="0" applyNumberFormat="1" applyFont="1" applyFill="1" applyAlignment="1">
      <alignment horizontal="right"/>
    </xf>
    <xf numFmtId="165" fontId="45" fillId="16" borderId="0" xfId="0" applyNumberFormat="1" applyFont="1" applyFill="1" applyAlignment="1">
      <alignment horizontal="right"/>
    </xf>
    <xf numFmtId="165" fontId="39" fillId="16" borderId="0" xfId="0" applyNumberFormat="1" applyFont="1" applyFill="1" applyAlignment="1">
      <alignment horizontal="right"/>
    </xf>
    <xf numFmtId="3" fontId="30" fillId="16" borderId="0" xfId="0" applyNumberFormat="1" applyFont="1" applyFill="1" applyAlignment="1">
      <alignment horizontal="right"/>
    </xf>
    <xf numFmtId="168" fontId="46" fillId="16" borderId="0" xfId="0" applyNumberFormat="1" applyFont="1" applyFill="1" applyAlignment="1">
      <alignment horizontal="right"/>
    </xf>
    <xf numFmtId="0" fontId="30" fillId="17" borderId="6" xfId="0" applyFont="1" applyFill="1" applyBorder="1"/>
    <xf numFmtId="0" fontId="37" fillId="17" borderId="6" xfId="0" applyFont="1" applyFill="1" applyBorder="1"/>
    <xf numFmtId="168" fontId="47" fillId="17" borderId="6" xfId="0" applyNumberFormat="1" applyFont="1" applyFill="1" applyBorder="1" applyAlignment="1">
      <alignment horizontal="right"/>
    </xf>
    <xf numFmtId="0" fontId="31" fillId="13" borderId="0" xfId="0" applyFont="1" applyFill="1" applyAlignment="1">
      <alignment horizontal="center"/>
    </xf>
    <xf numFmtId="0" fontId="32" fillId="12" borderId="0" xfId="0" applyFont="1" applyFill="1" applyAlignment="1">
      <alignment horizontal="center"/>
    </xf>
    <xf numFmtId="0" fontId="46" fillId="13" borderId="0" xfId="0" applyFont="1" applyFill="1" applyAlignment="1">
      <alignment horizontal="center"/>
    </xf>
    <xf numFmtId="0" fontId="35" fillId="1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23" fillId="10" borderId="0" xfId="0" applyFont="1" applyFill="1"/>
    <xf numFmtId="0" fontId="25" fillId="9" borderId="0" xfId="0" applyFont="1" applyFill="1"/>
    <xf numFmtId="0" fontId="25" fillId="8" borderId="0" xfId="0" applyFont="1" applyFill="1"/>
    <xf numFmtId="0" fontId="29" fillId="7" borderId="0" xfId="0" applyFont="1" applyFill="1"/>
    <xf numFmtId="0" fontId="17" fillId="7" borderId="0" xfId="0" applyFont="1" applyFill="1"/>
    <xf numFmtId="0" fontId="23" fillId="11" borderId="0" xfId="0" applyFont="1" applyFill="1" applyAlignment="1">
      <alignment horizontal="center"/>
    </xf>
    <xf numFmtId="0" fontId="28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16</xdr:col>
          <xdr:colOff>0</xdr:colOff>
          <xdr:row>0</xdr:row>
          <xdr:rowOff>438150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171450</xdr:colOff>
          <xdr:row>0</xdr:row>
          <xdr:rowOff>9525</xdr:rowOff>
        </xdr:from>
        <xdr:to>
          <xdr:col>17</xdr:col>
          <xdr:colOff>190500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Greeks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123825</xdr:rowOff>
        </xdr:from>
        <xdr:to>
          <xdr:col>2</xdr:col>
          <xdr:colOff>200025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1438275</xdr:colOff>
          <xdr:row>0</xdr:row>
          <xdr:rowOff>190500</xdr:rowOff>
        </xdr:from>
        <xdr:to>
          <xdr:col>5</xdr:col>
          <xdr:colOff>2809875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Blotter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19050</xdr:rowOff>
        </xdr:from>
        <xdr:to>
          <xdr:col>13</xdr:col>
          <xdr:colOff>561975</xdr:colOff>
          <xdr:row>2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1CA9B-D179-4D73-8704-A4696EC8895A}">
  <sheetPr codeName="Feuil1"/>
  <dimension ref="A1:O9"/>
  <sheetViews>
    <sheetView workbookViewId="0">
      <selection activeCell="G19" sqref="G19"/>
    </sheetView>
  </sheetViews>
  <sheetFormatPr baseColWidth="10" defaultColWidth="14.7109375" defaultRowHeight="15" x14ac:dyDescent="0.25"/>
  <cols>
    <col min="1" max="1" width="5.7109375" customWidth="1"/>
    <col min="2" max="2" width="18.7109375" style="17" customWidth="1"/>
    <col min="3" max="3" width="15" style="3" bestFit="1" customWidth="1"/>
    <col min="4" max="4" width="8.7109375" style="17" bestFit="1" customWidth="1"/>
    <col min="5" max="5" width="8.7109375" style="17" customWidth="1"/>
    <col min="6" max="6" width="12.7109375" style="17" customWidth="1"/>
    <col min="7" max="7" width="15.140625" style="3" bestFit="1" customWidth="1"/>
    <col min="8" max="8" width="11.7109375" style="1" customWidth="1"/>
    <col min="9" max="10" width="9.7109375" style="1" customWidth="1"/>
    <col min="11" max="14" width="9.7109375" style="17" customWidth="1"/>
    <col min="15" max="15" width="12.7109375" style="17" bestFit="1" customWidth="1"/>
  </cols>
  <sheetData>
    <row r="1" spans="1:15" ht="36" customHeight="1" x14ac:dyDescent="0.35">
      <c r="A1" s="70" t="s">
        <v>40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</row>
    <row r="2" spans="1:15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</row>
    <row r="3" spans="1:15" ht="21.95" customHeight="1" thickBot="1" x14ac:dyDescent="0.3">
      <c r="B3" s="16" t="s">
        <v>15</v>
      </c>
      <c r="C3" s="16" t="s">
        <v>41</v>
      </c>
      <c r="D3" s="16" t="s">
        <v>0</v>
      </c>
      <c r="E3" s="16" t="s">
        <v>1</v>
      </c>
      <c r="F3" s="16" t="s">
        <v>3</v>
      </c>
      <c r="G3" s="16" t="s">
        <v>4</v>
      </c>
      <c r="H3" s="16" t="s">
        <v>16</v>
      </c>
      <c r="I3" s="16" t="s">
        <v>17</v>
      </c>
      <c r="J3" s="16" t="s">
        <v>6</v>
      </c>
      <c r="K3" s="16" t="s">
        <v>7</v>
      </c>
      <c r="L3" s="16" t="s">
        <v>8</v>
      </c>
      <c r="M3" s="16" t="s">
        <v>9</v>
      </c>
      <c r="N3" s="16" t="s">
        <v>10</v>
      </c>
      <c r="O3" s="16" t="s">
        <v>11</v>
      </c>
    </row>
    <row r="4" spans="1:15" x14ac:dyDescent="0.25">
      <c r="B4" s="17">
        <v>5</v>
      </c>
      <c r="C4" s="2">
        <v>46126.658877314818</v>
      </c>
      <c r="D4" s="17" t="s">
        <v>48</v>
      </c>
      <c r="E4" s="17" t="s">
        <v>14</v>
      </c>
      <c r="F4" s="17">
        <v>510</v>
      </c>
      <c r="G4" s="2" t="s">
        <v>112</v>
      </c>
      <c r="H4" s="1">
        <v>342</v>
      </c>
      <c r="I4" s="1">
        <v>0.25</v>
      </c>
      <c r="J4" s="1">
        <v>161.24220993610501</v>
      </c>
      <c r="K4" s="17">
        <v>-0.99174297828264202</v>
      </c>
      <c r="L4" s="17">
        <v>4.2260710271229302E-4</v>
      </c>
      <c r="M4" s="17">
        <v>4.8075575595568298E-2</v>
      </c>
      <c r="N4" s="17">
        <v>4.3753312360289398E-2</v>
      </c>
      <c r="O4" s="17">
        <v>-1.9468328714587699</v>
      </c>
    </row>
    <row r="5" spans="1:15" x14ac:dyDescent="0.25">
      <c r="C5" s="2"/>
      <c r="G5" s="2"/>
    </row>
    <row r="6" spans="1:15" x14ac:dyDescent="0.25">
      <c r="C6" s="2"/>
      <c r="G6" s="2"/>
    </row>
    <row r="7" spans="1:15" x14ac:dyDescent="0.25">
      <c r="C7" s="2"/>
      <c r="G7" s="2"/>
    </row>
    <row r="8" spans="1:15" x14ac:dyDescent="0.25">
      <c r="C8" s="2"/>
      <c r="G8" s="2"/>
    </row>
    <row r="9" spans="1:15" x14ac:dyDescent="0.25">
      <c r="C9" s="2"/>
      <c r="G9" s="2"/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VaR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16</xdr:col>
                    <xdr:colOff>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tnGreeks">
                <anchor moveWithCells="1" sizeWithCells="1">
                  <from>
                    <xdr:col>16</xdr:col>
                    <xdr:colOff>171450</xdr:colOff>
                    <xdr:row>0</xdr:row>
                    <xdr:rowOff>9525</xdr:rowOff>
                  </from>
                  <to>
                    <xdr:col>17</xdr:col>
                    <xdr:colOff>190500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ealTicket"/>
  <dimension ref="B1:F18"/>
  <sheetViews>
    <sheetView workbookViewId="0">
      <selection activeCell="D7" sqref="D7"/>
    </sheetView>
  </sheetViews>
  <sheetFormatPr baseColWidth="10" defaultColWidth="19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8.7109375" customWidth="1"/>
    <col min="5" max="5" width="16.7109375" customWidth="1"/>
    <col min="6" max="6" width="45.7109375" customWidth="1"/>
  </cols>
  <sheetData>
    <row r="1" spans="2:6" ht="39.950000000000003" customHeight="1" x14ac:dyDescent="0.4">
      <c r="B1" s="71" t="s">
        <v>19</v>
      </c>
      <c r="C1" s="71"/>
      <c r="D1" s="71"/>
      <c r="E1" s="71"/>
      <c r="F1" s="71"/>
    </row>
    <row r="2" spans="2:6" ht="24.95" customHeight="1" x14ac:dyDescent="0.25">
      <c r="B2" s="72" t="s">
        <v>20</v>
      </c>
      <c r="C2" s="72"/>
      <c r="D2" s="72"/>
      <c r="E2" s="72"/>
      <c r="F2" s="72"/>
    </row>
    <row r="3" spans="2:6" ht="21.95" customHeight="1" x14ac:dyDescent="0.25">
      <c r="B3" s="73" t="s">
        <v>21</v>
      </c>
      <c r="C3" s="73"/>
      <c r="D3" s="73"/>
      <c r="E3" s="73"/>
      <c r="F3" s="73"/>
    </row>
    <row r="4" spans="2:6" ht="24" customHeight="1" x14ac:dyDescent="0.25">
      <c r="B4" s="4" t="s">
        <v>0</v>
      </c>
      <c r="C4" s="5" t="s">
        <v>22</v>
      </c>
      <c r="D4" s="7" t="s">
        <v>48</v>
      </c>
      <c r="F4" s="6" t="s">
        <v>23</v>
      </c>
    </row>
    <row r="5" spans="2:6" ht="24" customHeight="1" x14ac:dyDescent="0.25">
      <c r="B5" s="4" t="s">
        <v>1</v>
      </c>
      <c r="C5" s="5" t="s">
        <v>22</v>
      </c>
      <c r="D5" s="8" t="s">
        <v>14</v>
      </c>
      <c r="F5" s="6" t="s">
        <v>24</v>
      </c>
    </row>
    <row r="6" spans="2:6" ht="24" customHeight="1" x14ac:dyDescent="0.25">
      <c r="B6" s="4" t="s">
        <v>2</v>
      </c>
      <c r="C6" s="5" t="s">
        <v>22</v>
      </c>
      <c r="D6" s="8" t="s">
        <v>13</v>
      </c>
      <c r="F6" s="6" t="s">
        <v>25</v>
      </c>
    </row>
    <row r="7" spans="2:6" ht="24" customHeight="1" x14ac:dyDescent="0.25">
      <c r="B7" s="4" t="s">
        <v>3</v>
      </c>
      <c r="C7" s="5" t="s">
        <v>22</v>
      </c>
      <c r="D7" s="8">
        <v>510</v>
      </c>
      <c r="F7" s="6" t="s">
        <v>26</v>
      </c>
    </row>
    <row r="8" spans="2:6" ht="24" customHeight="1" x14ac:dyDescent="0.25">
      <c r="B8" s="4" t="s">
        <v>4</v>
      </c>
      <c r="C8" s="5" t="s">
        <v>22</v>
      </c>
      <c r="D8" s="9">
        <v>46268</v>
      </c>
      <c r="F8" s="6" t="s">
        <v>27</v>
      </c>
    </row>
    <row r="9" spans="2:6" ht="24" customHeight="1" x14ac:dyDescent="0.25">
      <c r="B9" s="4" t="s">
        <v>5</v>
      </c>
      <c r="C9" s="5" t="s">
        <v>22</v>
      </c>
      <c r="D9" s="8">
        <v>100000</v>
      </c>
      <c r="F9" s="6" t="s">
        <v>28</v>
      </c>
    </row>
    <row r="10" spans="2:6" ht="24" customHeight="1" thickBot="1" x14ac:dyDescent="0.3">
      <c r="B10" s="13" t="s">
        <v>29</v>
      </c>
      <c r="C10" s="14" t="s">
        <v>22</v>
      </c>
      <c r="D10" s="15" t="s">
        <v>45</v>
      </c>
      <c r="F10" s="6" t="s">
        <v>30</v>
      </c>
    </row>
    <row r="11" spans="2:6" ht="21.95" customHeight="1" x14ac:dyDescent="0.25">
      <c r="B11" s="74" t="s">
        <v>31</v>
      </c>
      <c r="C11" s="74"/>
      <c r="D11" s="74"/>
      <c r="E11" s="74"/>
      <c r="F11" s="74"/>
    </row>
    <row r="12" spans="2:6" ht="24" customHeight="1" x14ac:dyDescent="0.25">
      <c r="B12" s="10" t="s">
        <v>6</v>
      </c>
      <c r="C12" s="11" t="s">
        <v>22</v>
      </c>
      <c r="D12" s="12" t="s">
        <v>107</v>
      </c>
      <c r="F12" s="6" t="s">
        <v>32</v>
      </c>
    </row>
    <row r="13" spans="2:6" ht="24" customHeight="1" x14ac:dyDescent="0.25">
      <c r="B13" s="10" t="s">
        <v>7</v>
      </c>
      <c r="C13" s="11" t="s">
        <v>22</v>
      </c>
      <c r="D13" s="12" t="s">
        <v>108</v>
      </c>
      <c r="F13" s="6" t="s">
        <v>33</v>
      </c>
    </row>
    <row r="14" spans="2:6" ht="24" customHeight="1" x14ac:dyDescent="0.25">
      <c r="B14" s="10" t="s">
        <v>8</v>
      </c>
      <c r="C14" s="11" t="s">
        <v>22</v>
      </c>
      <c r="D14" s="12" t="s">
        <v>109</v>
      </c>
      <c r="F14" s="6" t="s">
        <v>34</v>
      </c>
    </row>
    <row r="15" spans="2:6" ht="24" customHeight="1" x14ac:dyDescent="0.25">
      <c r="B15" s="10" t="s">
        <v>9</v>
      </c>
      <c r="C15" s="11" t="s">
        <v>22</v>
      </c>
      <c r="D15" s="19" t="s">
        <v>110</v>
      </c>
      <c r="F15" s="6" t="s">
        <v>35</v>
      </c>
    </row>
    <row r="16" spans="2:6" ht="24" customHeight="1" x14ac:dyDescent="0.25">
      <c r="B16" s="10" t="s">
        <v>10</v>
      </c>
      <c r="C16" s="11" t="s">
        <v>22</v>
      </c>
      <c r="D16" s="18" t="s">
        <v>111</v>
      </c>
      <c r="F16" s="6" t="s">
        <v>36</v>
      </c>
    </row>
    <row r="17" spans="2:6" ht="24" customHeight="1" x14ac:dyDescent="0.25">
      <c r="B17" s="10" t="s">
        <v>11</v>
      </c>
      <c r="C17" s="11" t="s">
        <v>22</v>
      </c>
      <c r="D17" s="19">
        <v>-19468</v>
      </c>
      <c r="F17" s="6" t="s">
        <v>37</v>
      </c>
    </row>
    <row r="18" spans="2:6" ht="24" customHeight="1" x14ac:dyDescent="0.25">
      <c r="B18" s="10" t="s">
        <v>38</v>
      </c>
      <c r="C18" s="11" t="s">
        <v>22</v>
      </c>
      <c r="D18" s="12" t="s">
        <v>42</v>
      </c>
      <c r="F18" s="6" t="s">
        <v>39</v>
      </c>
    </row>
  </sheetData>
  <mergeCells count="4">
    <mergeCell ref="B1:F1"/>
    <mergeCell ref="B2:F2"/>
    <mergeCell ref="B3:F3"/>
    <mergeCell ref="B11:F11"/>
  </mergeCells>
  <dataValidations count="6">
    <dataValidation type="list" allowBlank="1" showInputMessage="1" showErrorMessage="1" errorTitle="Type invalide" error="Veuillez choisir CALL ou PUT" sqref="D5" xr:uid="{BB83DC64-962E-455E-AE78-7E89C7C1D83B}">
      <formula1>"CALL,PUT"</formula1>
    </dataValidation>
    <dataValidation type="list" allowBlank="1" showInputMessage="1" showErrorMessage="1" errorTitle="Style invalide" error="EU = Européenne, US = Américaine" sqref="D6" xr:uid="{C3335E7C-E624-4C11-A6CE-630AE44AAE5F}">
      <formula1>"EU,US"</formula1>
    </dataValidation>
    <dataValidation type="list" allowBlank="1" showInputMessage="1" showErrorMessage="1" errorTitle="Ticker inconnu" error="Choisissez un ticker disponible dans CMarketData" sqref="D4" xr:uid="{F0E5D9CC-7659-4F30-BCA2-899BEC73B0CA}">
      <formula1>"TTE.PA,BNP.PA,SAN.PA,AIR.PA,MC.PA,OR.PA"</formula1>
    </dataValidation>
    <dataValidation type="list" allowBlank="1" showInputMessage="1" showErrorMessage="1" errorTitle="Direction invalide" error="BUY = achat, SELL = vente" sqref="D10" xr:uid="{6E13F888-CDB3-445E-854B-85F48E57E4E5}">
      <formula1>"BUY,SELL"</formula1>
    </dataValidation>
    <dataValidation type="decimal" operator="greaterThan" allowBlank="1" showInputMessage="1" showErrorMessage="1" errorTitle="Strike invalide" error="Le strike doit etre superieur a 0" sqref="D7" xr:uid="{74B67259-ED65-4294-901E-D6D7CE08EB99}">
      <formula1>0</formula1>
    </dataValidation>
    <dataValidation type="decimal" operator="greaterThan" allowBlank="1" showInputMessage="1" showErrorMessage="1" errorTitle="Notional invalide" error="Le nominal doit etre superieur a 0" sqref="D9" xr:uid="{B552B906-BBBC-4EAD-A618-88F0762A15E5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Pricer">
                <anchor moveWithCells="1" sizeWithCells="1">
                  <from>
                    <xdr:col>1</xdr:col>
                    <xdr:colOff>66675</xdr:colOff>
                    <xdr:row>0</xdr:row>
                    <xdr:rowOff>123825</xdr:rowOff>
                  </from>
                  <to>
                    <xdr:col>2</xdr:col>
                    <xdr:colOff>200025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Blotter">
                <anchor moveWithCells="1" sizeWithCells="1">
                  <from>
                    <xdr:col>5</xdr:col>
                    <xdr:colOff>1438275</xdr:colOff>
                    <xdr:row>0</xdr:row>
                    <xdr:rowOff>190500</xdr:rowOff>
                  </from>
                  <to>
                    <xdr:col>5</xdr:col>
                    <xdr:colOff>2809875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74F62-21AE-4503-94DE-1F6EC06D79ED}">
  <sheetPr codeName="Feuil2"/>
  <dimension ref="B2:G19"/>
  <sheetViews>
    <sheetView workbookViewId="0">
      <selection activeCell="B7" sqref="B7"/>
    </sheetView>
  </sheetViews>
  <sheetFormatPr baseColWidth="10" defaultRowHeight="15" x14ac:dyDescent="0.25"/>
  <cols>
    <col min="1" max="1" width="2.7109375" style="20" customWidth="1"/>
    <col min="2" max="2" width="30.7109375" style="20" customWidth="1"/>
    <col min="3" max="3" width="16.7109375" style="20" customWidth="1"/>
    <col min="4" max="4" width="40.7109375" style="20" customWidth="1"/>
    <col min="5" max="5" width="28.7109375" style="20" customWidth="1"/>
    <col min="6" max="16384" width="11.42578125" style="20"/>
  </cols>
  <sheetData>
    <row r="2" spans="2:7" ht="18.75" x14ac:dyDescent="0.3">
      <c r="B2" s="21" t="s">
        <v>50</v>
      </c>
    </row>
    <row r="3" spans="2:7" x14ac:dyDescent="0.25">
      <c r="B3" s="23" t="s">
        <v>51</v>
      </c>
    </row>
    <row r="5" spans="2:7" x14ac:dyDescent="0.25">
      <c r="B5" s="25" t="s">
        <v>52</v>
      </c>
      <c r="C5" s="25" t="s">
        <v>53</v>
      </c>
      <c r="D5" s="25" t="s">
        <v>54</v>
      </c>
      <c r="E5" s="25" t="s">
        <v>55</v>
      </c>
    </row>
    <row r="6" spans="2:7" x14ac:dyDescent="0.25">
      <c r="B6" s="24" t="s">
        <v>56</v>
      </c>
      <c r="C6" s="27">
        <v>3677.49</v>
      </c>
      <c r="D6" s="24" t="s">
        <v>57</v>
      </c>
      <c r="E6" s="24" t="s">
        <v>58</v>
      </c>
    </row>
    <row r="7" spans="2:7" x14ac:dyDescent="0.25">
      <c r="B7" s="26" t="s">
        <v>59</v>
      </c>
      <c r="C7" s="28">
        <v>3504.02</v>
      </c>
      <c r="D7" s="26" t="s">
        <v>60</v>
      </c>
      <c r="E7" s="26" t="s">
        <v>61</v>
      </c>
    </row>
    <row r="8" spans="2:7" x14ac:dyDescent="0.25">
      <c r="B8" s="24" t="s">
        <v>62</v>
      </c>
      <c r="C8" s="27">
        <v>111.04</v>
      </c>
      <c r="D8" s="24" t="s">
        <v>63</v>
      </c>
      <c r="E8" s="24" t="s">
        <v>64</v>
      </c>
    </row>
    <row r="10" spans="2:7" x14ac:dyDescent="0.25">
      <c r="B10" s="75" t="s">
        <v>49</v>
      </c>
      <c r="C10" s="75"/>
      <c r="D10" s="75"/>
      <c r="E10" s="75"/>
      <c r="F10" s="75"/>
      <c r="G10" s="75"/>
    </row>
    <row r="11" spans="2:7" x14ac:dyDescent="0.25">
      <c r="B11" s="25" t="s">
        <v>0</v>
      </c>
      <c r="C11" s="25" t="s">
        <v>1</v>
      </c>
      <c r="D11" s="25" t="s">
        <v>3</v>
      </c>
      <c r="E11" s="25" t="s">
        <v>16</v>
      </c>
      <c r="F11" s="25" t="s">
        <v>7</v>
      </c>
      <c r="G11" s="25" t="s">
        <v>65</v>
      </c>
    </row>
    <row r="12" spans="2:7" x14ac:dyDescent="0.25">
      <c r="B12" s="20" t="s">
        <v>48</v>
      </c>
      <c r="C12" s="20" t="s">
        <v>14</v>
      </c>
      <c r="D12" s="20">
        <v>510</v>
      </c>
      <c r="E12" s="20">
        <v>342</v>
      </c>
      <c r="F12" s="20">
        <v>-0.98260000000000003</v>
      </c>
      <c r="G12" s="20">
        <v>2424.4299999999998</v>
      </c>
    </row>
    <row r="13" spans="2:7" x14ac:dyDescent="0.25">
      <c r="B13" s="20" t="s">
        <v>47</v>
      </c>
      <c r="C13" s="20" t="s">
        <v>18</v>
      </c>
      <c r="D13" s="20">
        <v>96</v>
      </c>
      <c r="E13" s="20">
        <v>95.3</v>
      </c>
      <c r="F13" s="20">
        <v>0.55669999999999997</v>
      </c>
      <c r="G13" s="20">
        <v>1373.47</v>
      </c>
    </row>
    <row r="14" spans="2:7" x14ac:dyDescent="0.25">
      <c r="B14" s="20" t="s">
        <v>46</v>
      </c>
      <c r="C14" s="20" t="s">
        <v>14</v>
      </c>
      <c r="D14" s="20">
        <v>640</v>
      </c>
      <c r="E14" s="20">
        <v>635</v>
      </c>
      <c r="F14" s="20">
        <v>-0.4723</v>
      </c>
      <c r="G14" s="20">
        <v>1165.33</v>
      </c>
    </row>
    <row r="15" spans="2:7" x14ac:dyDescent="0.25">
      <c r="B15" s="20" t="s">
        <v>44</v>
      </c>
      <c r="C15" s="20" t="s">
        <v>18</v>
      </c>
      <c r="D15" s="20">
        <v>170</v>
      </c>
      <c r="E15" s="20">
        <v>168.5</v>
      </c>
      <c r="F15" s="20">
        <v>0.57479999999999998</v>
      </c>
      <c r="G15" s="20">
        <v>1418.31</v>
      </c>
    </row>
    <row r="16" spans="2:7" x14ac:dyDescent="0.25">
      <c r="B16" s="20" t="s">
        <v>43</v>
      </c>
      <c r="C16" s="20" t="s">
        <v>14</v>
      </c>
      <c r="D16" s="20">
        <v>70</v>
      </c>
      <c r="E16" s="20">
        <v>72.150000000000006</v>
      </c>
      <c r="F16" s="20">
        <v>-0.36</v>
      </c>
      <c r="G16" s="20">
        <v>888.29</v>
      </c>
    </row>
    <row r="17" spans="2:7" x14ac:dyDescent="0.25">
      <c r="B17" s="20" t="s">
        <v>12</v>
      </c>
      <c r="C17" s="20" t="s">
        <v>18</v>
      </c>
      <c r="D17" s="20">
        <v>60</v>
      </c>
      <c r="E17" s="20">
        <v>58.4</v>
      </c>
      <c r="F17" s="20">
        <v>0.51280000000000003</v>
      </c>
      <c r="G17" s="20">
        <v>1265.31</v>
      </c>
    </row>
    <row r="19" spans="2:7" x14ac:dyDescent="0.25">
      <c r="B19" s="29" t="s">
        <v>99</v>
      </c>
    </row>
  </sheetData>
  <mergeCells count="1">
    <mergeCell ref="B10:G10"/>
  </mergeCell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B3AAB-3F04-4276-BB6B-F0FB40C2E626}">
  <sheetPr codeName="Feuil3"/>
  <dimension ref="B2:K17"/>
  <sheetViews>
    <sheetView workbookViewId="0">
      <selection activeCell="B2" sqref="B2:K2"/>
    </sheetView>
  </sheetViews>
  <sheetFormatPr baseColWidth="10" defaultRowHeight="12" x14ac:dyDescent="0.2"/>
  <cols>
    <col min="1" max="1" width="2.7109375" style="22" customWidth="1"/>
    <col min="2" max="2" width="18.7109375" style="22" customWidth="1"/>
    <col min="3" max="3" width="8.7109375" style="22" customWidth="1"/>
    <col min="4" max="10" width="10.7109375" style="22" customWidth="1"/>
    <col min="11" max="11" width="22.7109375" style="22" customWidth="1"/>
    <col min="12" max="16384" width="11.42578125" style="22"/>
  </cols>
  <sheetData>
    <row r="2" spans="2:11" ht="18.75" x14ac:dyDescent="0.3">
      <c r="B2" s="79" t="s">
        <v>66</v>
      </c>
      <c r="C2" s="79"/>
      <c r="D2" s="79"/>
      <c r="E2" s="79"/>
      <c r="F2" s="79"/>
      <c r="G2" s="79"/>
      <c r="H2" s="79"/>
      <c r="I2" s="79"/>
      <c r="J2" s="79"/>
      <c r="K2" s="79"/>
    </row>
    <row r="3" spans="2:11" x14ac:dyDescent="0.2">
      <c r="B3" s="23" t="s">
        <v>100</v>
      </c>
    </row>
    <row r="4" spans="2:11" x14ac:dyDescent="0.2">
      <c r="B4" s="80" t="s">
        <v>73</v>
      </c>
      <c r="C4" s="80"/>
      <c r="D4" s="80"/>
      <c r="E4" s="80"/>
      <c r="F4" s="80"/>
      <c r="G4" s="80"/>
      <c r="H4" s="80"/>
      <c r="I4" s="80"/>
      <c r="J4" s="80"/>
      <c r="K4" s="80"/>
    </row>
    <row r="5" spans="2:11" x14ac:dyDescent="0.2">
      <c r="B5" s="31" t="s">
        <v>0</v>
      </c>
      <c r="C5" s="31" t="s">
        <v>1</v>
      </c>
      <c r="D5" s="31" t="s">
        <v>3</v>
      </c>
      <c r="E5" s="31" t="s">
        <v>16</v>
      </c>
      <c r="F5" s="31" t="s">
        <v>67</v>
      </c>
      <c r="G5" s="31" t="s">
        <v>68</v>
      </c>
      <c r="H5" s="31" t="s">
        <v>69</v>
      </c>
      <c r="I5" s="31" t="s">
        <v>70</v>
      </c>
      <c r="J5" s="31" t="s">
        <v>71</v>
      </c>
      <c r="K5" s="31" t="s">
        <v>72</v>
      </c>
    </row>
    <row r="7" spans="2:11" ht="12.75" x14ac:dyDescent="0.2">
      <c r="B7" s="33" t="s">
        <v>101</v>
      </c>
      <c r="C7" s="33"/>
      <c r="D7" s="33"/>
      <c r="E7" s="33"/>
      <c r="F7" s="35">
        <v>0</v>
      </c>
      <c r="G7" s="34">
        <v>0</v>
      </c>
      <c r="H7" s="34">
        <v>0</v>
      </c>
      <c r="I7" s="36">
        <v>0</v>
      </c>
      <c r="J7" s="34">
        <v>0</v>
      </c>
      <c r="K7" s="33"/>
    </row>
    <row r="10" spans="2:11" ht="12.75" x14ac:dyDescent="0.2">
      <c r="B10" s="81" t="s">
        <v>74</v>
      </c>
      <c r="C10" s="81"/>
      <c r="D10" s="81"/>
      <c r="E10" s="81"/>
      <c r="F10" s="81"/>
      <c r="G10" s="81"/>
      <c r="H10" s="81"/>
      <c r="I10" s="81"/>
      <c r="J10" s="81"/>
      <c r="K10" s="81"/>
    </row>
    <row r="11" spans="2:11" x14ac:dyDescent="0.2">
      <c r="B11" s="37" t="s">
        <v>75</v>
      </c>
      <c r="C11" s="30"/>
      <c r="D11" s="25" t="s">
        <v>102</v>
      </c>
      <c r="E11" s="77" t="s">
        <v>76</v>
      </c>
      <c r="F11" s="77"/>
      <c r="G11" s="77"/>
      <c r="H11" s="77"/>
      <c r="I11" s="77"/>
      <c r="J11" s="77"/>
      <c r="K11" s="77"/>
    </row>
    <row r="12" spans="2:11" x14ac:dyDescent="0.2">
      <c r="B12" s="38" t="s">
        <v>77</v>
      </c>
      <c r="C12" s="32"/>
      <c r="D12" s="39" t="s">
        <v>102</v>
      </c>
      <c r="E12" s="76" t="s">
        <v>103</v>
      </c>
      <c r="F12" s="76"/>
      <c r="G12" s="76"/>
      <c r="H12" s="76"/>
      <c r="I12" s="76"/>
      <c r="J12" s="76"/>
      <c r="K12" s="76"/>
    </row>
    <row r="13" spans="2:11" x14ac:dyDescent="0.2">
      <c r="B13" s="37" t="s">
        <v>78</v>
      </c>
      <c r="C13" s="30"/>
      <c r="D13" s="25" t="s">
        <v>102</v>
      </c>
      <c r="E13" s="77" t="s">
        <v>104</v>
      </c>
      <c r="F13" s="77"/>
      <c r="G13" s="77"/>
      <c r="H13" s="77"/>
      <c r="I13" s="77"/>
      <c r="J13" s="77"/>
      <c r="K13" s="77"/>
    </row>
    <row r="14" spans="2:11" x14ac:dyDescent="0.2">
      <c r="B14" s="38" t="s">
        <v>79</v>
      </c>
      <c r="C14" s="32"/>
      <c r="D14" s="39" t="s">
        <v>102</v>
      </c>
      <c r="E14" s="76" t="s">
        <v>105</v>
      </c>
      <c r="F14" s="76"/>
      <c r="G14" s="76"/>
      <c r="H14" s="76"/>
      <c r="I14" s="76"/>
      <c r="J14" s="76"/>
      <c r="K14" s="76"/>
    </row>
    <row r="15" spans="2:11" x14ac:dyDescent="0.2">
      <c r="B15" s="37" t="s">
        <v>80</v>
      </c>
      <c r="C15" s="30"/>
      <c r="D15" s="25" t="s">
        <v>81</v>
      </c>
      <c r="E15" s="77" t="s">
        <v>82</v>
      </c>
      <c r="F15" s="77"/>
      <c r="G15" s="77"/>
      <c r="H15" s="77"/>
      <c r="I15" s="77"/>
      <c r="J15" s="77"/>
      <c r="K15" s="77"/>
    </row>
    <row r="17" spans="2:11" x14ac:dyDescent="0.2">
      <c r="B17" s="78" t="s">
        <v>106</v>
      </c>
      <c r="C17" s="78"/>
      <c r="D17" s="78"/>
      <c r="E17" s="78"/>
      <c r="F17" s="78"/>
      <c r="G17" s="78"/>
      <c r="H17" s="78"/>
      <c r="I17" s="78"/>
      <c r="J17" s="78"/>
      <c r="K17" s="78"/>
    </row>
  </sheetData>
  <mergeCells count="9">
    <mergeCell ref="B2:K2"/>
    <mergeCell ref="B4:K4"/>
    <mergeCell ref="B10:K10"/>
    <mergeCell ref="E11:K11"/>
    <mergeCell ref="E12:K12"/>
    <mergeCell ref="E13:K13"/>
    <mergeCell ref="E14:K14"/>
    <mergeCell ref="E15:K15"/>
    <mergeCell ref="B17:K1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959F7-3F8A-4986-83A5-0DFA7A00A577}">
  <sheetPr codeName="Feuil4">
    <tabColor rgb="FF009AFF"/>
  </sheetPr>
  <dimension ref="A1:I16"/>
  <sheetViews>
    <sheetView tabSelected="1" workbookViewId="0">
      <selection activeCell="N11" sqref="N11"/>
    </sheetView>
  </sheetViews>
  <sheetFormatPr baseColWidth="10" defaultRowHeight="15" x14ac:dyDescent="0.25"/>
  <cols>
    <col min="1" max="1" width="14.7109375" style="40" customWidth="1"/>
    <col min="2" max="2" width="8.7109375" style="40" customWidth="1"/>
    <col min="3" max="3" width="9.7109375" style="40" customWidth="1"/>
    <col min="4" max="4" width="10.7109375" style="40" customWidth="1"/>
    <col min="5" max="5" width="11.7109375" style="40" customWidth="1"/>
    <col min="6" max="8" width="9.7109375" style="40" customWidth="1"/>
    <col min="9" max="9" width="14.7109375" style="40" customWidth="1"/>
    <col min="10" max="16384" width="11.42578125" style="40"/>
  </cols>
  <sheetData>
    <row r="1" spans="1:9" ht="27.95" customHeight="1" x14ac:dyDescent="0.35">
      <c r="A1" s="66" t="s">
        <v>83</v>
      </c>
      <c r="B1" s="66"/>
      <c r="C1" s="66"/>
      <c r="D1" s="66"/>
      <c r="E1" s="66"/>
      <c r="F1" s="66"/>
      <c r="G1" s="66"/>
      <c r="H1" s="66"/>
      <c r="I1" s="66"/>
    </row>
    <row r="2" spans="1:9" ht="18" customHeight="1" x14ac:dyDescent="0.25">
      <c r="A2" s="67" t="s">
        <v>84</v>
      </c>
      <c r="B2" s="67"/>
      <c r="C2" s="67"/>
      <c r="D2" s="67"/>
      <c r="E2" s="67"/>
      <c r="F2" s="67"/>
      <c r="G2" s="67"/>
      <c r="H2" s="67"/>
      <c r="I2" s="67"/>
    </row>
    <row r="3" spans="1:9" ht="9.9499999999999993" customHeight="1" x14ac:dyDescent="0.25"/>
    <row r="4" spans="1:9" ht="16.5" x14ac:dyDescent="0.3">
      <c r="A4" s="41" t="s">
        <v>85</v>
      </c>
      <c r="D4" s="42">
        <v>-5</v>
      </c>
      <c r="E4" s="43" t="s">
        <v>86</v>
      </c>
    </row>
    <row r="5" spans="1:9" ht="8.1" customHeight="1" x14ac:dyDescent="0.25"/>
    <row r="6" spans="1:9" ht="20.100000000000001" customHeight="1" thickBot="1" x14ac:dyDescent="0.35">
      <c r="A6" s="44" t="s">
        <v>87</v>
      </c>
      <c r="B6" s="44" t="s">
        <v>88</v>
      </c>
      <c r="C6" s="44" t="s">
        <v>89</v>
      </c>
      <c r="D6" s="44" t="s">
        <v>90</v>
      </c>
      <c r="E6" s="44" t="s">
        <v>91</v>
      </c>
      <c r="F6" s="44" t="s">
        <v>92</v>
      </c>
      <c r="G6" s="44" t="s">
        <v>93</v>
      </c>
      <c r="H6" s="44" t="s">
        <v>94</v>
      </c>
      <c r="I6" s="44" t="s">
        <v>95</v>
      </c>
    </row>
    <row r="7" spans="1:9" ht="18" customHeight="1" x14ac:dyDescent="0.3">
      <c r="A7" s="45" t="s">
        <v>44</v>
      </c>
      <c r="B7" s="46" t="s">
        <v>18</v>
      </c>
      <c r="C7" s="47">
        <v>170</v>
      </c>
      <c r="D7" s="48">
        <v>168.5</v>
      </c>
      <c r="E7" s="49">
        <v>-8.4250000000000007</v>
      </c>
      <c r="F7" s="50">
        <v>0.57483020365319104</v>
      </c>
      <c r="G7" s="51">
        <v>1.0737678722946301E-2</v>
      </c>
      <c r="H7" s="52">
        <v>100</v>
      </c>
      <c r="I7" s="53">
        <v>-446.18608923761695</v>
      </c>
    </row>
    <row r="8" spans="1:9" ht="18" customHeight="1" x14ac:dyDescent="0.3">
      <c r="A8" s="54" t="s">
        <v>43</v>
      </c>
      <c r="B8" s="55" t="s">
        <v>14</v>
      </c>
      <c r="C8" s="56">
        <v>70</v>
      </c>
      <c r="D8" s="57">
        <v>72.150000000000006</v>
      </c>
      <c r="E8" s="58">
        <v>-3.6075000000000004</v>
      </c>
      <c r="F8" s="59">
        <v>-0.36001788778521299</v>
      </c>
      <c r="G8" s="60">
        <v>2.9535850635923799E-2</v>
      </c>
      <c r="H8" s="61">
        <v>100</v>
      </c>
      <c r="I8" s="62">
        <v>149.09551409689112</v>
      </c>
    </row>
    <row r="9" spans="1:9" ht="18" customHeight="1" x14ac:dyDescent="0.3">
      <c r="A9" s="54" t="s">
        <v>46</v>
      </c>
      <c r="B9" s="55" t="s">
        <v>14</v>
      </c>
      <c r="C9" s="56">
        <v>640</v>
      </c>
      <c r="D9" s="57">
        <v>635</v>
      </c>
      <c r="E9" s="58">
        <v>-31.75</v>
      </c>
      <c r="F9" s="59">
        <v>-0.47230099133793102</v>
      </c>
      <c r="G9" s="60">
        <v>5.0208077267715201E-3</v>
      </c>
      <c r="H9" s="61">
        <v>100</v>
      </c>
      <c r="I9" s="62">
        <v>1752.6200469513617</v>
      </c>
    </row>
    <row r="10" spans="1:9" ht="18" customHeight="1" x14ac:dyDescent="0.3">
      <c r="A10" s="54" t="s">
        <v>48</v>
      </c>
      <c r="B10" s="55" t="s">
        <v>14</v>
      </c>
      <c r="C10" s="56">
        <v>510</v>
      </c>
      <c r="D10" s="57">
        <v>342</v>
      </c>
      <c r="E10" s="58">
        <v>-17.100000000000001</v>
      </c>
      <c r="F10" s="59">
        <v>-0.98260498836657795</v>
      </c>
      <c r="G10" s="60">
        <v>7.2213122411425904E-4</v>
      </c>
      <c r="H10" s="61">
        <v>100</v>
      </c>
      <c r="I10" s="62">
        <v>1690.8124496690109</v>
      </c>
    </row>
    <row r="11" spans="1:9" ht="18" customHeight="1" x14ac:dyDescent="0.3">
      <c r="A11" s="45" t="s">
        <v>47</v>
      </c>
      <c r="B11" s="46" t="s">
        <v>18</v>
      </c>
      <c r="C11" s="47">
        <v>96</v>
      </c>
      <c r="D11" s="48">
        <v>95.3</v>
      </c>
      <c r="E11" s="49">
        <v>-4.7649999999999997</v>
      </c>
      <c r="F11" s="50">
        <v>0.55665780833216605</v>
      </c>
      <c r="G11" s="51">
        <v>2.3802767743220401E-2</v>
      </c>
      <c r="H11" s="52">
        <v>100</v>
      </c>
      <c r="I11" s="53">
        <v>-238.22508580864903</v>
      </c>
    </row>
    <row r="12" spans="1:9" ht="18" customHeight="1" thickBot="1" x14ac:dyDescent="0.35">
      <c r="A12" s="45" t="s">
        <v>12</v>
      </c>
      <c r="B12" s="46" t="s">
        <v>18</v>
      </c>
      <c r="C12" s="47">
        <v>60</v>
      </c>
      <c r="D12" s="48">
        <v>58.4</v>
      </c>
      <c r="E12" s="49">
        <v>-2.92</v>
      </c>
      <c r="F12" s="50">
        <v>0.51281986920487599</v>
      </c>
      <c r="G12" s="51">
        <v>3.88904600403088E-2</v>
      </c>
      <c r="H12" s="52">
        <v>100</v>
      </c>
      <c r="I12" s="53">
        <v>-133.16362088343934</v>
      </c>
    </row>
    <row r="13" spans="1:9" ht="21.95" customHeight="1" x14ac:dyDescent="0.3">
      <c r="A13" s="64" t="s">
        <v>96</v>
      </c>
      <c r="B13" s="63"/>
      <c r="C13" s="63"/>
      <c r="D13" s="63"/>
      <c r="E13" s="63"/>
      <c r="F13" s="63"/>
      <c r="G13" s="63"/>
      <c r="H13" s="63"/>
      <c r="I13" s="65">
        <v>2774.9532147875584</v>
      </c>
    </row>
    <row r="14" spans="1:9" ht="20.100000000000001" customHeight="1" x14ac:dyDescent="0.3">
      <c r="A14" s="68" t="s">
        <v>97</v>
      </c>
      <c r="B14" s="68"/>
      <c r="C14" s="68"/>
      <c r="D14" s="68"/>
      <c r="E14" s="68"/>
      <c r="F14" s="68"/>
      <c r="G14" s="68"/>
      <c r="H14" s="68"/>
      <c r="I14" s="68"/>
    </row>
    <row r="16" spans="1:9" x14ac:dyDescent="0.25">
      <c r="A16" s="69" t="s">
        <v>98</v>
      </c>
      <c r="B16" s="69"/>
      <c r="C16" s="69"/>
      <c r="D16" s="69"/>
      <c r="E16" s="69"/>
      <c r="F16" s="69"/>
      <c r="G16" s="69"/>
      <c r="H16" s="69"/>
      <c r="I16" s="69"/>
    </row>
  </sheetData>
  <mergeCells count="4">
    <mergeCell ref="A1:I1"/>
    <mergeCell ref="A2:I2"/>
    <mergeCell ref="A14:I14"/>
    <mergeCell ref="A16:I16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tnPnLSim_.BtnPnLSim_">
                <anchor moveWithCells="1" sizeWithCells="1">
                  <from>
                    <xdr:col>12</xdr:col>
                    <xdr:colOff>28575</xdr:colOff>
                    <xdr:row>0</xdr:row>
                    <xdr:rowOff>19050</xdr:rowOff>
                  </from>
                  <to>
                    <xdr:col>13</xdr:col>
                    <xdr:colOff>561975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Blotter</vt:lpstr>
      <vt:lpstr>DealTicket</vt:lpstr>
      <vt:lpstr>VaR</vt:lpstr>
      <vt:lpstr>Greeks</vt:lpstr>
      <vt:lpstr>PnL Sim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ajebabli</dc:creator>
  <cp:lastModifiedBy>Aymen Jebabli</cp:lastModifiedBy>
  <dcterms:created xsi:type="dcterms:W3CDTF">2015-06-05T18:19:34Z</dcterms:created>
  <dcterms:modified xsi:type="dcterms:W3CDTF">2026-04-14T13:53:14Z</dcterms:modified>
</cp:coreProperties>
</file>